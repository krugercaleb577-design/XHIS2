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janj\Downloads\"/>
    </mc:Choice>
  </mc:AlternateContent>
  <xr:revisionPtr revIDLastSave="0" documentId="8_{5CB1D694-92F5-4606-82D9-9A4D10EDF5CB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Dashboard" sheetId="1" r:id="rId1"/>
    <sheet name="Device Data" sheetId="2" r:id="rId2"/>
    <sheet name="Failure Data" sheetId="3" r:id="rId3"/>
    <sheet name="Dashboard Metrics" sheetId="4" r:id="rId4"/>
    <sheet name="Health Calculations" sheetId="5" r:id="rId5"/>
    <sheet name="Department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F6" i="5" s="1"/>
  <c r="E5" i="5"/>
  <c r="F5" i="5" s="1"/>
  <c r="E4" i="5"/>
  <c r="F4" i="5" s="1"/>
  <c r="E3" i="5"/>
  <c r="F3" i="5" s="1"/>
  <c r="E2" i="5"/>
  <c r="F2" i="5" s="1"/>
</calcChain>
</file>

<file path=xl/sharedStrings.xml><?xml version="1.0" encoding="utf-8"?>
<sst xmlns="http://schemas.openxmlformats.org/spreadsheetml/2006/main" count="72" uniqueCount="45">
  <si>
    <t>IT Service Desk Analytics Dashboard</t>
  </si>
  <si>
    <t>Total Active Tickets</t>
  </si>
  <si>
    <t>High-Risk Devices</t>
  </si>
  <si>
    <t>Recurring Failures</t>
  </si>
  <si>
    <t>Ticket Reduction</t>
  </si>
  <si>
    <t>18%</t>
  </si>
  <si>
    <t>Presentation highlights</t>
  </si>
  <si>
    <t>• Storage failures are the largest recurring-failure category (18 of 37; 48.6%).</t>
  </si>
  <si>
    <t>• Memory issues account for 11 of 37 recurring failures (29.7%).</t>
  </si>
  <si>
    <t>• Network failures account for 8 of 37 recurring failures (21.6%).</t>
  </si>
  <si>
    <t>• The oldest monitored device is FLD-PC-004 at 96 months.</t>
  </si>
  <si>
    <t>• Average monitored device age is 57.6 months (4.8 years).</t>
  </si>
  <si>
    <t>• All 5 registered devices are shown as high-risk in the dashboard summary.</t>
  </si>
  <si>
    <t>Device</t>
  </si>
  <si>
    <t>Department</t>
  </si>
  <si>
    <t>Age (months)</t>
  </si>
  <si>
    <t>FLD-PC-001</t>
  </si>
  <si>
    <t>Finance</t>
  </si>
  <si>
    <t>FLD-PC-002</t>
  </si>
  <si>
    <t>Human Resources</t>
  </si>
  <si>
    <t>FLD-PC-003</t>
  </si>
  <si>
    <t>Operations</t>
  </si>
  <si>
    <t>FLD-PC-004</t>
  </si>
  <si>
    <t>FLD-PC-005</t>
  </si>
  <si>
    <t>IT Support</t>
  </si>
  <si>
    <t>Failure Type</t>
  </si>
  <si>
    <t>Count</t>
  </si>
  <si>
    <t>Description</t>
  </si>
  <si>
    <t>Storage Failures</t>
  </si>
  <si>
    <t>Hard-drive and storage-related incidents</t>
  </si>
  <si>
    <t>Memory Issues</t>
  </si>
  <si>
    <t>RAM-related crashes and performance problems</t>
  </si>
  <si>
    <t>Network Failures</t>
  </si>
  <si>
    <t>Connectivity and network-access incidents</t>
  </si>
  <si>
    <t>Metric</t>
  </si>
  <si>
    <t>Value</t>
  </si>
  <si>
    <t>Tickets per device</t>
  </si>
  <si>
    <t>Health Score</t>
  </si>
  <si>
    <t>Risk Classification</t>
  </si>
  <si>
    <t>Enter ticket frequency</t>
  </si>
  <si>
    <t>Formula from screenshot</t>
  </si>
  <si>
    <t>100 - (Tickets × 5) + (Age in Months × 0.5)</t>
  </si>
  <si>
    <t>Note</t>
  </si>
  <si>
    <t>Per-device ticket frequency was not visible in the supplied screenshots, so the ticket input cells are intentionally left blank.</t>
  </si>
  <si>
    <t>Average Device 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</si>
</sst>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8"/>
      <color rgb="FF17324D"/>
      <name val="Calibri"/>
    </font>
    <font>
      <b/>
      <sz val="14"/>
      <color rgb="FF17324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F77B4"/>
      </patternFill>
    </fill>
    <fill>
      <patternFill patternType="solid">
        <fgColor rgb="FFDCEAF7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/>
    <xf numFmtId="0" fontId="2" fillId="2" borderId="2" xfId="0" applyFont="1" applyFill="1" applyBorder="1"/>
    <xf numFmtId="0" fontId="0" fillId="0" borderId="2" xfId="0" applyBorder="1"/>
    <xf numFmtId="0" fontId="2" fillId="2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/>
    </xf>
    <xf numFmtId="0" fontId="0" fillId="0" borderId="2" xfId="0" applyBorder="1"/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Recurring Failure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'Failure Data'!$B$1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'Failure Data'!$A$2:$A$4</c:f>
              <c:strCache>
                <c:ptCount val="3"/>
                <c:pt idx="0">
                  <c:v>Storage Failures</c:v>
                </c:pt>
                <c:pt idx="1">
                  <c:v>Memory Issues</c:v>
                </c:pt>
                <c:pt idx="2">
                  <c:v>Network Failures</c:v>
                </c:pt>
              </c:strCache>
            </c:strRef>
          </c:cat>
          <c:val>
            <c:numRef>
              <c:f>'Failure Data'!$B$2:$B$4</c:f>
              <c:numCache>
                <c:formatCode>General</c:formatCode>
                <c:ptCount val="3"/>
                <c:pt idx="0">
                  <c:v>18</c:v>
                </c:pt>
                <c:pt idx="1">
                  <c:v>11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7-49D0-86F1-C27ABF71371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0790025252525257"/>
          <c:y val="0.74198611111111112"/>
          <c:w val="0.27606439393939392"/>
          <c:h val="0.23922187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Device Age by Asset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'Device Data'!$C$1</c:f>
              <c:strCache>
                <c:ptCount val="1"/>
                <c:pt idx="0">
                  <c:v>Age (months)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'Device Data'!$A$2:$A$6</c:f>
              <c:strCache>
                <c:ptCount val="5"/>
                <c:pt idx="0">
                  <c:v>FLD-PC-001</c:v>
                </c:pt>
                <c:pt idx="1">
                  <c:v>FLD-PC-002</c:v>
                </c:pt>
                <c:pt idx="2">
                  <c:v>FLD-PC-003</c:v>
                </c:pt>
                <c:pt idx="3">
                  <c:v>FLD-PC-004</c:v>
                </c:pt>
                <c:pt idx="4">
                  <c:v>FLD-PC-005</c:v>
                </c:pt>
              </c:strCache>
            </c:strRef>
          </c:cat>
          <c:val>
            <c:numRef>
              <c:f>'Device Data'!$C$2:$C$6</c:f>
              <c:numCache>
                <c:formatCode>General</c:formatCode>
                <c:ptCount val="5"/>
                <c:pt idx="0">
                  <c:v>24</c:v>
                </c:pt>
                <c:pt idx="1">
                  <c:v>60</c:v>
                </c:pt>
                <c:pt idx="2">
                  <c:v>72</c:v>
                </c:pt>
                <c:pt idx="3">
                  <c:v>96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A-4E7A-A74E-26C9828A4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Device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(months)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Device Age by Department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'Department Summary'!$B$1</c:f>
              <c:strCache>
                <c:ptCount val="1"/>
                <c:pt idx="0">
                  <c:v>Average Device Age (months)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'Department Summary'!$A$2:$A$5</c:f>
              <c:strCache>
                <c:ptCount val="4"/>
                <c:pt idx="0">
                  <c:v>Finance</c:v>
                </c:pt>
                <c:pt idx="1">
                  <c:v>Human Resources</c:v>
                </c:pt>
                <c:pt idx="2">
                  <c:v>IT Support</c:v>
                </c:pt>
                <c:pt idx="3">
                  <c:v>Operations</c:v>
                </c:pt>
              </c:strCache>
            </c:strRef>
          </c:cat>
          <c:val>
            <c:numRef>
              <c:f>'Department Summary'!$B$2:$B$5</c:f>
              <c:numCache>
                <c:formatCode>General</c:formatCode>
                <c:ptCount val="4"/>
                <c:pt idx="0">
                  <c:v>60</c:v>
                </c:pt>
                <c:pt idx="1">
                  <c:v>60</c:v>
                </c:pt>
                <c:pt idx="2">
                  <c:v>36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E-436F-ACFA-026B3A92A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age (months)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15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A8" sqref="A8:H8"/>
    </sheetView>
  </sheetViews>
  <sheetFormatPr defaultRowHeight="14.5" x14ac:dyDescent="0.35"/>
  <cols>
    <col min="1" max="8" width="18" customWidth="1"/>
  </cols>
  <sheetData>
    <row r="1" spans="1:8" ht="26" x14ac:dyDescent="0.6">
      <c r="A1" s="5" t="s">
        <v>0</v>
      </c>
      <c r="B1" s="4"/>
      <c r="C1" s="4"/>
      <c r="D1" s="4"/>
      <c r="E1" s="4"/>
      <c r="F1" s="4"/>
      <c r="G1" s="4"/>
      <c r="H1" s="4"/>
    </row>
    <row r="2" spans="1:8" ht="13.5" customHeight="1" x14ac:dyDescent="0.35">
      <c r="A2" s="7"/>
      <c r="B2" s="7"/>
      <c r="C2" s="7"/>
      <c r="D2" s="7"/>
      <c r="E2" s="7"/>
      <c r="F2" s="7"/>
      <c r="G2" s="7"/>
      <c r="H2" s="7"/>
    </row>
    <row r="3" spans="1:8" x14ac:dyDescent="0.35">
      <c r="A3" s="11" t="s">
        <v>1</v>
      </c>
      <c r="B3" s="12"/>
      <c r="C3" s="11" t="s">
        <v>2</v>
      </c>
      <c r="D3" s="12"/>
      <c r="E3" s="11" t="s">
        <v>3</v>
      </c>
      <c r="F3" s="12"/>
      <c r="G3" s="11" t="s">
        <v>4</v>
      </c>
      <c r="H3" s="12"/>
    </row>
    <row r="4" spans="1:8" ht="23.5" x14ac:dyDescent="0.55000000000000004">
      <c r="A4" s="13">
        <v>124</v>
      </c>
      <c r="B4" s="12"/>
      <c r="C4" s="13">
        <v>5</v>
      </c>
      <c r="D4" s="12"/>
      <c r="E4" s="13">
        <v>37</v>
      </c>
      <c r="F4" s="12"/>
      <c r="G4" s="13" t="s">
        <v>5</v>
      </c>
      <c r="H4" s="12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ht="18.5" x14ac:dyDescent="0.45">
      <c r="A7" s="2" t="s">
        <v>6</v>
      </c>
      <c r="B7" s="1"/>
      <c r="C7" s="1"/>
      <c r="D7" s="1"/>
      <c r="E7" s="1"/>
      <c r="F7" s="1"/>
      <c r="G7" s="1"/>
      <c r="H7" s="1"/>
    </row>
    <row r="8" spans="1:8" x14ac:dyDescent="0.35">
      <c r="A8" s="3" t="s">
        <v>7</v>
      </c>
      <c r="B8" s="4"/>
      <c r="C8" s="4"/>
      <c r="D8" s="4"/>
      <c r="E8" s="4"/>
      <c r="F8" s="4"/>
      <c r="G8" s="4"/>
      <c r="H8" s="4"/>
    </row>
    <row r="9" spans="1:8" x14ac:dyDescent="0.35">
      <c r="A9" s="3" t="s">
        <v>8</v>
      </c>
      <c r="B9" s="4"/>
      <c r="C9" s="4"/>
      <c r="D9" s="4"/>
      <c r="E9" s="4"/>
      <c r="F9" s="4"/>
      <c r="G9" s="4"/>
      <c r="H9" s="4"/>
    </row>
    <row r="10" spans="1:8" x14ac:dyDescent="0.35">
      <c r="A10" s="3" t="s">
        <v>9</v>
      </c>
      <c r="B10" s="4"/>
      <c r="C10" s="4"/>
      <c r="D10" s="4"/>
      <c r="E10" s="4"/>
      <c r="F10" s="4"/>
      <c r="G10" s="4"/>
      <c r="H10" s="4"/>
    </row>
    <row r="11" spans="1:8" x14ac:dyDescent="0.35">
      <c r="A11" s="3" t="s">
        <v>10</v>
      </c>
      <c r="B11" s="4"/>
      <c r="C11" s="4"/>
      <c r="D11" s="4"/>
      <c r="E11" s="4"/>
      <c r="F11" s="4"/>
      <c r="G11" s="4"/>
      <c r="H11" s="4"/>
    </row>
    <row r="12" spans="1:8" x14ac:dyDescent="0.35">
      <c r="A12" s="3" t="s">
        <v>11</v>
      </c>
      <c r="B12" s="4"/>
      <c r="C12" s="4"/>
      <c r="D12" s="4"/>
      <c r="E12" s="4"/>
      <c r="F12" s="4"/>
      <c r="G12" s="4"/>
      <c r="H12" s="4"/>
    </row>
    <row r="13" spans="1:8" x14ac:dyDescent="0.35">
      <c r="A13" s="3" t="s">
        <v>12</v>
      </c>
      <c r="B13" s="4"/>
      <c r="C13" s="4"/>
      <c r="D13" s="4"/>
      <c r="E13" s="4"/>
      <c r="F13" s="4"/>
      <c r="G13" s="4"/>
      <c r="H13" s="4"/>
    </row>
  </sheetData>
  <mergeCells count="15">
    <mergeCell ref="A12:H12"/>
    <mergeCell ref="A10:H10"/>
    <mergeCell ref="A13:H13"/>
    <mergeCell ref="A1:H1"/>
    <mergeCell ref="C3:D3"/>
    <mergeCell ref="C4:D4"/>
    <mergeCell ref="A4:B4"/>
    <mergeCell ref="G4:H4"/>
    <mergeCell ref="E4:F4"/>
    <mergeCell ref="A3:B3"/>
    <mergeCell ref="G3:H3"/>
    <mergeCell ref="E3:F3"/>
    <mergeCell ref="A8:H8"/>
    <mergeCell ref="A11:H11"/>
    <mergeCell ref="A9:H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3" width="24" customWidth="1"/>
  </cols>
  <sheetData>
    <row r="1" spans="1:3" x14ac:dyDescent="0.35">
      <c r="A1" s="10" t="s">
        <v>13</v>
      </c>
      <c r="B1" s="10" t="s">
        <v>14</v>
      </c>
      <c r="C1" s="10" t="s">
        <v>15</v>
      </c>
    </row>
    <row r="2" spans="1:3" x14ac:dyDescent="0.35">
      <c r="A2" s="9" t="s">
        <v>16</v>
      </c>
      <c r="B2" s="9" t="s">
        <v>17</v>
      </c>
      <c r="C2" s="9">
        <v>24</v>
      </c>
    </row>
    <row r="3" spans="1:3" x14ac:dyDescent="0.35">
      <c r="A3" s="9" t="s">
        <v>18</v>
      </c>
      <c r="B3" s="9" t="s">
        <v>19</v>
      </c>
      <c r="C3" s="9">
        <v>60</v>
      </c>
    </row>
    <row r="4" spans="1:3" x14ac:dyDescent="0.35">
      <c r="A4" s="9" t="s">
        <v>20</v>
      </c>
      <c r="B4" s="9" t="s">
        <v>21</v>
      </c>
      <c r="C4" s="9">
        <v>72</v>
      </c>
    </row>
    <row r="5" spans="1:3" x14ac:dyDescent="0.35">
      <c r="A5" s="9" t="s">
        <v>22</v>
      </c>
      <c r="B5" s="9" t="s">
        <v>17</v>
      </c>
      <c r="C5" s="9">
        <v>96</v>
      </c>
    </row>
    <row r="6" spans="1:3" x14ac:dyDescent="0.35">
      <c r="A6" s="9" t="s">
        <v>23</v>
      </c>
      <c r="B6" s="9" t="s">
        <v>24</v>
      </c>
      <c r="C6" s="9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3" width="24" customWidth="1"/>
  </cols>
  <sheetData>
    <row r="1" spans="1:3" x14ac:dyDescent="0.35">
      <c r="A1" s="8" t="s">
        <v>25</v>
      </c>
      <c r="B1" s="8" t="s">
        <v>26</v>
      </c>
      <c r="C1" s="8" t="s">
        <v>27</v>
      </c>
    </row>
    <row r="2" spans="1:3" ht="29" x14ac:dyDescent="0.35">
      <c r="A2" s="9" t="s">
        <v>28</v>
      </c>
      <c r="B2" s="9">
        <v>18</v>
      </c>
      <c r="C2" s="9" t="s">
        <v>29</v>
      </c>
    </row>
    <row r="3" spans="1:3" ht="29" x14ac:dyDescent="0.35">
      <c r="A3" s="9" t="s">
        <v>30</v>
      </c>
      <c r="B3" s="9">
        <v>11</v>
      </c>
      <c r="C3" s="9" t="s">
        <v>31</v>
      </c>
    </row>
    <row r="4" spans="1:3" ht="29" x14ac:dyDescent="0.35">
      <c r="A4" s="9" t="s">
        <v>32</v>
      </c>
      <c r="B4" s="9">
        <v>8</v>
      </c>
      <c r="C4" s="9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2" width="24" customWidth="1"/>
  </cols>
  <sheetData>
    <row r="1" spans="1:2" x14ac:dyDescent="0.35">
      <c r="A1" s="8" t="s">
        <v>34</v>
      </c>
      <c r="B1" s="8" t="s">
        <v>35</v>
      </c>
    </row>
    <row r="2" spans="1:2" x14ac:dyDescent="0.35">
      <c r="A2" s="9" t="s">
        <v>1</v>
      </c>
      <c r="B2" s="9">
        <v>124</v>
      </c>
    </row>
    <row r="3" spans="1:2" x14ac:dyDescent="0.35">
      <c r="A3" s="9" t="s">
        <v>2</v>
      </c>
      <c r="B3" s="9">
        <v>5</v>
      </c>
    </row>
    <row r="4" spans="1:2" x14ac:dyDescent="0.35">
      <c r="A4" s="9" t="s">
        <v>3</v>
      </c>
      <c r="B4" s="9">
        <v>37</v>
      </c>
    </row>
    <row r="5" spans="1:2" x14ac:dyDescent="0.35">
      <c r="A5" s="9" t="s">
        <v>4</v>
      </c>
      <c r="B5" s="9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1" topLeftCell="A2" activePane="bottomLeft" state="frozen"/>
      <selection pane="bottomLeft" activeCell="C11" sqref="C11"/>
    </sheetView>
  </sheetViews>
  <sheetFormatPr defaultRowHeight="14.5" x14ac:dyDescent="0.35"/>
  <cols>
    <col min="1" max="6" width="24" customWidth="1"/>
  </cols>
  <sheetData>
    <row r="1" spans="1:6" x14ac:dyDescent="0.35">
      <c r="A1" s="8" t="s">
        <v>13</v>
      </c>
      <c r="B1" s="8" t="s">
        <v>14</v>
      </c>
      <c r="C1" s="8" t="s">
        <v>15</v>
      </c>
      <c r="D1" s="8" t="s">
        <v>36</v>
      </c>
      <c r="E1" s="8" t="s">
        <v>37</v>
      </c>
      <c r="F1" s="8" t="s">
        <v>38</v>
      </c>
    </row>
    <row r="2" spans="1:6" x14ac:dyDescent="0.35">
      <c r="A2" s="9" t="s">
        <v>16</v>
      </c>
      <c r="B2" s="9" t="s">
        <v>17</v>
      </c>
      <c r="C2" s="9">
        <v>24</v>
      </c>
      <c r="D2" s="9" t="s">
        <v>39</v>
      </c>
      <c r="E2" s="9" t="str">
        <f>IF(ISNUMBER(D2),100-(D2*5)+(C2*0.5),"")</f>
        <v/>
      </c>
      <c r="F2" s="9" t="str">
        <f>IF(E2="","",IF(E2&lt;40,"Yellow",IF(E2&lt;50,"Review",IF(E2&lt;=80,"Orange","Black"))))</f>
        <v/>
      </c>
    </row>
    <row r="3" spans="1:6" x14ac:dyDescent="0.35">
      <c r="A3" s="9" t="s">
        <v>18</v>
      </c>
      <c r="B3" s="9" t="s">
        <v>19</v>
      </c>
      <c r="C3" s="9">
        <v>60</v>
      </c>
      <c r="D3" s="9" t="s">
        <v>39</v>
      </c>
      <c r="E3" s="9" t="str">
        <f>IF(ISNUMBER(D3),100-(D3*5)+(C3*0.5),"")</f>
        <v/>
      </c>
      <c r="F3" s="9" t="str">
        <f>IF(E3="","",IF(E3&lt;40,"Yellow",IF(E3&lt;50,"Review",IF(E3&lt;=80,"Orange","Black"))))</f>
        <v/>
      </c>
    </row>
    <row r="4" spans="1:6" x14ac:dyDescent="0.35">
      <c r="A4" s="9" t="s">
        <v>20</v>
      </c>
      <c r="B4" s="9" t="s">
        <v>21</v>
      </c>
      <c r="C4" s="9">
        <v>72</v>
      </c>
      <c r="D4" s="9" t="s">
        <v>39</v>
      </c>
      <c r="E4" s="9" t="str">
        <f>IF(ISNUMBER(D4),100-(D4*5)+(C4*0.5),"")</f>
        <v/>
      </c>
      <c r="F4" s="9" t="str">
        <f>IF(E4="","",IF(E4&lt;40,"Yellow",IF(E4&lt;50,"Review",IF(E4&lt;=80,"Orange","Black"))))</f>
        <v/>
      </c>
    </row>
    <row r="5" spans="1:6" x14ac:dyDescent="0.35">
      <c r="A5" s="9" t="s">
        <v>22</v>
      </c>
      <c r="B5" s="9" t="s">
        <v>17</v>
      </c>
      <c r="C5" s="9">
        <v>96</v>
      </c>
      <c r="D5" s="9" t="s">
        <v>39</v>
      </c>
      <c r="E5" s="9" t="str">
        <f>IF(ISNUMBER(D5),100-(D5*5)+(C5*0.5),"")</f>
        <v/>
      </c>
      <c r="F5" s="9" t="str">
        <f>IF(E5="","",IF(E5&lt;40,"Yellow",IF(E5&lt;50,"Review",IF(E5&lt;=80,"Orange","Black"))))</f>
        <v/>
      </c>
    </row>
    <row r="6" spans="1:6" x14ac:dyDescent="0.35">
      <c r="A6" s="9" t="s">
        <v>23</v>
      </c>
      <c r="B6" s="9" t="s">
        <v>24</v>
      </c>
      <c r="C6" s="9">
        <v>36</v>
      </c>
      <c r="D6" s="9" t="s">
        <v>39</v>
      </c>
      <c r="E6" s="9" t="str">
        <f>IF(ISNUMBER(D6),100-(D6*5)+(C6*0.5),"")</f>
        <v/>
      </c>
      <c r="F6" s="9" t="str">
        <f>IF(E6="","",IF(E6&lt;40,"Yellow",IF(E6&lt;50,"Review",IF(E6&lt;=80,"Orange","Black"))))</f>
        <v/>
      </c>
    </row>
    <row r="7" spans="1:6" x14ac:dyDescent="0.35">
      <c r="A7" s="9"/>
      <c r="B7" s="9"/>
      <c r="C7" s="9"/>
      <c r="D7" s="9"/>
      <c r="E7" s="9"/>
      <c r="F7" s="9"/>
    </row>
    <row r="8" spans="1:6" x14ac:dyDescent="0.35">
      <c r="A8" s="9"/>
      <c r="B8" s="9"/>
      <c r="C8" s="9"/>
      <c r="D8" s="9"/>
      <c r="E8" s="9"/>
      <c r="F8" s="9"/>
    </row>
    <row r="9" spans="1:6" ht="29" x14ac:dyDescent="0.35">
      <c r="A9" s="9" t="s">
        <v>40</v>
      </c>
      <c r="B9" s="9" t="s">
        <v>41</v>
      </c>
      <c r="C9" s="9"/>
      <c r="D9" s="9"/>
      <c r="E9" s="9"/>
      <c r="F9" s="9"/>
    </row>
    <row r="10" spans="1:6" ht="72.5" x14ac:dyDescent="0.35">
      <c r="A10" s="9" t="s">
        <v>42</v>
      </c>
      <c r="B10" s="9" t="s">
        <v>43</v>
      </c>
      <c r="C10" s="9"/>
      <c r="D10" s="9"/>
      <c r="E10" s="9"/>
      <c r="F10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tabSelected="1" workbookViewId="0">
      <selection activeCell="E8" sqref="E8"/>
    </sheetView>
  </sheetViews>
  <sheetFormatPr defaultRowHeight="14.5" x14ac:dyDescent="0.35"/>
  <cols>
    <col min="1" max="2" width="18" customWidth="1"/>
  </cols>
  <sheetData>
    <row r="1" spans="1:2" x14ac:dyDescent="0.35">
      <c r="A1" s="6" t="s">
        <v>14</v>
      </c>
      <c r="B1" s="6" t="s">
        <v>44</v>
      </c>
    </row>
    <row r="2" spans="1:2" x14ac:dyDescent="0.35">
      <c r="A2" s="7" t="s">
        <v>17</v>
      </c>
      <c r="B2" s="7">
        <v>60</v>
      </c>
    </row>
    <row r="3" spans="1:2" x14ac:dyDescent="0.35">
      <c r="A3" s="7" t="s">
        <v>19</v>
      </c>
      <c r="B3" s="7">
        <v>60</v>
      </c>
    </row>
    <row r="4" spans="1:2" x14ac:dyDescent="0.35">
      <c r="A4" s="7" t="s">
        <v>24</v>
      </c>
      <c r="B4" s="7">
        <v>36</v>
      </c>
    </row>
    <row r="5" spans="1:2" x14ac:dyDescent="0.35">
      <c r="A5" s="7" t="s">
        <v>21</v>
      </c>
      <c r="B5" s="7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Device Data</vt:lpstr>
      <vt:lpstr>Failure Data</vt:lpstr>
      <vt:lpstr>Dashboard Metrics</vt:lpstr>
      <vt:lpstr>Health Calculations</vt:lpstr>
      <vt:lpstr>Department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Baphelele Dlamini</cp:lastModifiedBy>
  <dcterms:created xsi:type="dcterms:W3CDTF">2026-10-08T19:20:56Z</dcterms:created>
  <dcterms:modified xsi:type="dcterms:W3CDTF">2026-10-08T20:21:02Z</dcterms:modified>
</cp:coreProperties>
</file>